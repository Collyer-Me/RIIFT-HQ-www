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netorgft19940909.sharepoint.com/sites/riift/Shared Documents/02_Product (The Core of Riift)/"/>
    </mc:Choice>
  </mc:AlternateContent>
  <xr:revisionPtr revIDLastSave="0" documentId="8_{957B8A9F-E2F8-48BA-AC80-7AC05C905208}" xr6:coauthVersionLast="47" xr6:coauthVersionMax="47" xr10:uidLastSave="{00000000-0000-0000-0000-000000000000}"/>
  <bookViews>
    <workbookView xWindow="-8020" yWindow="-27860" windowWidth="30580" windowHeight="24000" firstSheet="1" activeTab="1" xr2:uid="{E75BFF4C-A5C1-D54D-BA81-285DBB73D95C}"/>
  </bookViews>
  <sheets>
    <sheet name="Sheet1" sheetId="1" r:id="rId1"/>
    <sheet name="Battery Weigh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2" l="1"/>
  <c r="E10" i="2"/>
  <c r="D10" i="2"/>
  <c r="D12" i="2"/>
  <c r="D15" i="2" s="1"/>
  <c r="F9" i="2"/>
  <c r="E9" i="2"/>
  <c r="D9" i="2"/>
  <c r="F8" i="2"/>
  <c r="E8" i="2"/>
  <c r="D8" i="2"/>
  <c r="E36" i="1"/>
  <c r="F30" i="1"/>
  <c r="F17" i="1"/>
  <c r="F20" i="1" s="1"/>
  <c r="E17" i="1"/>
  <c r="E20" i="1" s="1"/>
  <c r="G47" i="1"/>
  <c r="F47" i="1"/>
  <c r="E47" i="1"/>
  <c r="G46" i="1"/>
  <c r="F46" i="1"/>
  <c r="E46" i="1"/>
  <c r="G45" i="1"/>
  <c r="F45" i="1"/>
  <c r="E45" i="1"/>
  <c r="E31" i="1"/>
  <c r="E33" i="1" s="1"/>
  <c r="G10" i="1"/>
  <c r="F10" i="1"/>
  <c r="E10" i="1"/>
  <c r="G9" i="1"/>
  <c r="F9" i="1"/>
  <c r="E9" i="1"/>
  <c r="F14" i="1"/>
  <c r="G8" i="1"/>
  <c r="F8" i="1"/>
  <c r="E8" i="1"/>
  <c r="E12" i="2" l="1"/>
  <c r="F12" i="2"/>
  <c r="F36" i="1"/>
  <c r="G14" i="1"/>
  <c r="G17" i="1" s="1"/>
  <c r="G20" i="1" s="1"/>
  <c r="F31" i="1"/>
  <c r="F33" i="1" s="1"/>
  <c r="G30" i="1"/>
  <c r="G36" i="1" s="1"/>
  <c r="G28" i="1"/>
  <c r="G27" i="1"/>
  <c r="F28" i="1"/>
  <c r="F27" i="1"/>
  <c r="E28" i="1"/>
  <c r="E27" i="1"/>
  <c r="G11" i="1"/>
  <c r="G25" i="1"/>
  <c r="G24" i="1"/>
  <c r="F11" i="1"/>
  <c r="F25" i="1"/>
  <c r="F24" i="1"/>
  <c r="E24" i="1"/>
  <c r="E25" i="1"/>
  <c r="E11" i="1"/>
  <c r="E15" i="2" l="1"/>
  <c r="H12" i="2"/>
  <c r="F15" i="2"/>
  <c r="I12" i="2"/>
  <c r="F22" i="1"/>
  <c r="F21" i="1"/>
  <c r="E21" i="1"/>
  <c r="E22" i="1"/>
  <c r="G21" i="1"/>
  <c r="G31" i="1"/>
  <c r="G33" i="1" s="1"/>
  <c r="G22" i="1"/>
</calcChain>
</file>

<file path=xl/sharedStrings.xml><?xml version="1.0" encoding="utf-8"?>
<sst xmlns="http://schemas.openxmlformats.org/spreadsheetml/2006/main" count="104" uniqueCount="77">
  <si>
    <t xml:space="preserve">RIIFT </t>
  </si>
  <si>
    <t xml:space="preserve">2P </t>
  </si>
  <si>
    <t>3P</t>
  </si>
  <si>
    <t>4P</t>
  </si>
  <si>
    <t>RIIFT Proposed Board Range</t>
  </si>
  <si>
    <t>Batteries</t>
  </si>
  <si>
    <t>LD6000</t>
  </si>
  <si>
    <t>Battery Series</t>
  </si>
  <si>
    <t>Battery Paralell</t>
  </si>
  <si>
    <t>Board</t>
  </si>
  <si>
    <t>4'4</t>
  </si>
  <si>
    <t>4'10</t>
  </si>
  <si>
    <t>5'4</t>
  </si>
  <si>
    <t>5'6</t>
  </si>
  <si>
    <t>Cell nominal Voltage</t>
  </si>
  <si>
    <t>Volts</t>
  </si>
  <si>
    <t xml:space="preserve">Tracks </t>
  </si>
  <si>
    <t>2P</t>
  </si>
  <si>
    <t>4p</t>
  </si>
  <si>
    <t>Cell mAh</t>
  </si>
  <si>
    <t>mAh</t>
  </si>
  <si>
    <t>Amp Hours</t>
  </si>
  <si>
    <t>Pro</t>
  </si>
  <si>
    <t>Advanced</t>
  </si>
  <si>
    <t>Intermediate</t>
  </si>
  <si>
    <t>Beginner</t>
  </si>
  <si>
    <t>Battery Pack Voltage</t>
  </si>
  <si>
    <t>Voltage</t>
  </si>
  <si>
    <t>Charger Max Voltage</t>
  </si>
  <si>
    <t>Power mAmp Hours</t>
  </si>
  <si>
    <t>Battery Weight Net</t>
  </si>
  <si>
    <t>Grams</t>
  </si>
  <si>
    <t>Power Pack Weight</t>
  </si>
  <si>
    <t>Latch Weight</t>
  </si>
  <si>
    <t>Propulsion weight</t>
  </si>
  <si>
    <t>Total installed weight</t>
  </si>
  <si>
    <t>Kg</t>
  </si>
  <si>
    <t>Thrust</t>
  </si>
  <si>
    <t>kgs</t>
  </si>
  <si>
    <t>Thrust to weight ratio</t>
  </si>
  <si>
    <t>Kg-thrust/kg</t>
  </si>
  <si>
    <t>Power to weight ratio</t>
  </si>
  <si>
    <t>watts/kg</t>
  </si>
  <si>
    <t>Price - watts /$</t>
  </si>
  <si>
    <t>Watts / $1000</t>
  </si>
  <si>
    <t>Efoil 80kg rider @20 amps</t>
  </si>
  <si>
    <t>Minutes</t>
  </si>
  <si>
    <t>Efoil 90kg rider @23 amps</t>
  </si>
  <si>
    <t>Recharge Time at 10amps</t>
  </si>
  <si>
    <t>Recharge Time at 15amps</t>
  </si>
  <si>
    <t>Price AUD Incl GST</t>
  </si>
  <si>
    <t>AUD</t>
  </si>
  <si>
    <t>Price USD excl tax</t>
  </si>
  <si>
    <t>USD</t>
  </si>
  <si>
    <t xml:space="preserve">Kit cost to RIIFT </t>
  </si>
  <si>
    <t>XX Markup</t>
  </si>
  <si>
    <t>Riift + Board Including Taxes</t>
  </si>
  <si>
    <t>FoilDrive</t>
  </si>
  <si>
    <t>Max Sport</t>
  </si>
  <si>
    <t>Max HP</t>
  </si>
  <si>
    <t>Fusion</t>
  </si>
  <si>
    <t>FD Products:</t>
  </si>
  <si>
    <t>RRP including taxes and duties</t>
  </si>
  <si>
    <t>Watt hours</t>
  </si>
  <si>
    <t>Weight complete</t>
  </si>
  <si>
    <t>grams</t>
  </si>
  <si>
    <t xml:space="preserve">Thrust  </t>
  </si>
  <si>
    <t>kg</t>
  </si>
  <si>
    <t>Power to weight ration</t>
  </si>
  <si>
    <t>Second Battery Comparison</t>
  </si>
  <si>
    <t>Pack Model</t>
  </si>
  <si>
    <t>Pack P</t>
  </si>
  <si>
    <t>Cells</t>
  </si>
  <si>
    <t>Cell Weight</t>
  </si>
  <si>
    <t>BMS</t>
  </si>
  <si>
    <t>Copper and Wrap and Wires</t>
  </si>
  <si>
    <t>Net Battery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</si>
</sst>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66" formatCode="_(&quot;$&quot;* #,##0_);_(&quot;$&quot;* \(#,##0\);_(&quot;$&quot;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43" fontId="0" fillId="0" borderId="0" xfId="1" applyFont="1"/>
    <xf numFmtId="164" fontId="0" fillId="0" borderId="0" xfId="1" applyNumberFormat="1" applyFont="1"/>
    <xf numFmtId="0" fontId="2" fillId="0" borderId="0" xfId="0" applyFont="1"/>
    <xf numFmtId="43" fontId="0" fillId="0" borderId="0" xfId="0" applyNumberFormat="1"/>
    <xf numFmtId="44" fontId="0" fillId="0" borderId="0" xfId="2" applyFont="1"/>
    <xf numFmtId="165" fontId="0" fillId="0" borderId="0" xfId="1" applyNumberFormat="1" applyFont="1"/>
    <xf numFmtId="0" fontId="3" fillId="0" borderId="0" xfId="0" applyFont="1"/>
    <xf numFmtId="0" fontId="0" fillId="3" borderId="0" xfId="0" applyFill="1"/>
    <xf numFmtId="0" fontId="0" fillId="2" borderId="0" xfId="0" applyFill="1" applyAlignment="1">
      <alignment horizontal="right"/>
    </xf>
    <xf numFmtId="0" fontId="2" fillId="2" borderId="0" xfId="0" applyFont="1" applyFill="1"/>
    <xf numFmtId="43" fontId="2" fillId="2" borderId="0" xfId="1" applyFont="1" applyFill="1"/>
    <xf numFmtId="43" fontId="0" fillId="2" borderId="0" xfId="1" applyFont="1" applyFill="1"/>
    <xf numFmtId="165" fontId="0" fillId="2" borderId="0" xfId="1" applyNumberFormat="1" applyFont="1" applyFill="1"/>
    <xf numFmtId="166" fontId="0" fillId="0" borderId="0" xfId="2" applyNumberFormat="1" applyFont="1"/>
    <xf numFmtId="9" fontId="0" fillId="0" borderId="0" xfId="3" applyFont="1"/>
    <xf numFmtId="16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0AAB-4C18-C148-A478-561F79B6AD33}">
  <dimension ref="B2:N49"/>
  <sheetViews>
    <sheetView topLeftCell="A5" zoomScale="130" zoomScaleNormal="130" workbookViewId="0">
      <selection activeCell="G14" sqref="G14"/>
    </sheetView>
  </sheetViews>
  <sheetFormatPr defaultColWidth="11" defaultRowHeight="15.95"/>
  <cols>
    <col min="2" max="2" width="23.375" customWidth="1"/>
    <col min="3" max="3" width="8.875" customWidth="1"/>
    <col min="4" max="4" width="12.875" customWidth="1"/>
    <col min="5" max="5" width="12.375" bestFit="1" customWidth="1"/>
    <col min="6" max="6" width="11.5" bestFit="1" customWidth="1"/>
    <col min="7" max="7" width="11.875" customWidth="1"/>
    <col min="9" max="9" width="23.375" customWidth="1"/>
    <col min="13" max="13" width="12.5" customWidth="1"/>
    <col min="14" max="14" width="12" customWidth="1"/>
  </cols>
  <sheetData>
    <row r="2" spans="2:14">
      <c r="B2" s="1" t="s">
        <v>0</v>
      </c>
      <c r="C2" s="1"/>
      <c r="D2" s="1"/>
      <c r="E2" s="10" t="s">
        <v>1</v>
      </c>
      <c r="F2" s="10" t="s">
        <v>2</v>
      </c>
      <c r="G2" s="10" t="s">
        <v>3</v>
      </c>
      <c r="I2" s="10" t="s">
        <v>4</v>
      </c>
    </row>
    <row r="3" spans="2:14">
      <c r="B3" t="s">
        <v>5</v>
      </c>
      <c r="E3" t="s">
        <v>6</v>
      </c>
      <c r="F3" t="s">
        <v>6</v>
      </c>
      <c r="G3" t="s">
        <v>6</v>
      </c>
    </row>
    <row r="4" spans="2:14">
      <c r="B4" t="s">
        <v>7</v>
      </c>
      <c r="E4">
        <v>12</v>
      </c>
      <c r="F4">
        <v>12</v>
      </c>
      <c r="G4">
        <v>12</v>
      </c>
    </row>
    <row r="5" spans="2:14">
      <c r="B5" t="s">
        <v>8</v>
      </c>
      <c r="E5">
        <v>2</v>
      </c>
      <c r="F5">
        <v>3</v>
      </c>
      <c r="G5">
        <v>4</v>
      </c>
      <c r="I5" t="s">
        <v>9</v>
      </c>
      <c r="J5" t="s">
        <v>10</v>
      </c>
      <c r="K5" t="s">
        <v>11</v>
      </c>
      <c r="L5" t="s">
        <v>11</v>
      </c>
      <c r="M5" t="s">
        <v>12</v>
      </c>
      <c r="N5" t="s">
        <v>13</v>
      </c>
    </row>
    <row r="6" spans="2:14">
      <c r="B6" t="s">
        <v>14</v>
      </c>
      <c r="D6" t="s">
        <v>15</v>
      </c>
      <c r="E6">
        <v>3.6</v>
      </c>
      <c r="F6">
        <v>3.6</v>
      </c>
      <c r="G6">
        <v>3.6</v>
      </c>
      <c r="I6" t="s">
        <v>16</v>
      </c>
      <c r="J6" t="s">
        <v>17</v>
      </c>
      <c r="K6" t="s">
        <v>17</v>
      </c>
      <c r="L6" t="s">
        <v>3</v>
      </c>
      <c r="M6" t="s">
        <v>18</v>
      </c>
      <c r="N6" t="s">
        <v>18</v>
      </c>
    </row>
    <row r="7" spans="2:14">
      <c r="B7" t="s">
        <v>19</v>
      </c>
      <c r="D7" t="s">
        <v>20</v>
      </c>
      <c r="E7">
        <v>6000</v>
      </c>
      <c r="F7">
        <v>6000</v>
      </c>
      <c r="G7">
        <v>6000</v>
      </c>
    </row>
    <row r="8" spans="2:14">
      <c r="B8" t="s">
        <v>21</v>
      </c>
      <c r="E8">
        <f>E5*E7/1000</f>
        <v>12</v>
      </c>
      <c r="F8">
        <f>F5*F7/1000</f>
        <v>18</v>
      </c>
      <c r="G8">
        <f>G5*G7/1000</f>
        <v>24</v>
      </c>
      <c r="J8" t="s">
        <v>22</v>
      </c>
      <c r="K8" t="s">
        <v>23</v>
      </c>
      <c r="L8" t="s">
        <v>23</v>
      </c>
      <c r="M8" t="s">
        <v>24</v>
      </c>
      <c r="N8" t="s">
        <v>25</v>
      </c>
    </row>
    <row r="9" spans="2:14">
      <c r="B9" t="s">
        <v>26</v>
      </c>
      <c r="D9" t="s">
        <v>27</v>
      </c>
      <c r="E9">
        <f>E4*E6</f>
        <v>43.2</v>
      </c>
      <c r="F9">
        <f>F4*F6</f>
        <v>43.2</v>
      </c>
      <c r="G9">
        <f>G4*G6</f>
        <v>43.2</v>
      </c>
    </row>
    <row r="10" spans="2:14">
      <c r="B10" t="s">
        <v>28</v>
      </c>
      <c r="D10" t="s">
        <v>27</v>
      </c>
      <c r="E10">
        <f>E4*4.2</f>
        <v>50.400000000000006</v>
      </c>
      <c r="F10">
        <f>F4*4.2</f>
        <v>50.400000000000006</v>
      </c>
      <c r="G10">
        <f>G4*4.2</f>
        <v>50.400000000000006</v>
      </c>
    </row>
    <row r="11" spans="2:14">
      <c r="B11" s="1" t="s">
        <v>29</v>
      </c>
      <c r="C11" s="1"/>
      <c r="D11" s="1"/>
      <c r="E11" s="1">
        <f>E4*E6*E8</f>
        <v>518.40000000000009</v>
      </c>
      <c r="F11" s="1">
        <f>F4*F6*F8</f>
        <v>777.6</v>
      </c>
      <c r="G11" s="1">
        <f>G4*G6*G8</f>
        <v>1036.8000000000002</v>
      </c>
    </row>
    <row r="13" spans="2:14">
      <c r="B13" t="s">
        <v>30</v>
      </c>
      <c r="D13" t="s">
        <v>31</v>
      </c>
      <c r="E13">
        <v>2500</v>
      </c>
      <c r="F13">
        <v>3500</v>
      </c>
      <c r="G13">
        <v>4500</v>
      </c>
    </row>
    <row r="14" spans="2:14">
      <c r="B14" t="s">
        <v>32</v>
      </c>
      <c r="D14" t="s">
        <v>31</v>
      </c>
      <c r="E14">
        <v>3150</v>
      </c>
      <c r="F14">
        <f>E14+1200</f>
        <v>4350</v>
      </c>
      <c r="G14">
        <f>F14+1200</f>
        <v>5550</v>
      </c>
    </row>
    <row r="15" spans="2:14">
      <c r="B15" t="s">
        <v>33</v>
      </c>
      <c r="D15" t="s">
        <v>31</v>
      </c>
      <c r="E15">
        <v>150</v>
      </c>
      <c r="F15">
        <v>150</v>
      </c>
      <c r="G15">
        <v>150</v>
      </c>
    </row>
    <row r="16" spans="2:14">
      <c r="B16" t="s">
        <v>34</v>
      </c>
      <c r="D16" t="s">
        <v>31</v>
      </c>
      <c r="E16">
        <v>1200</v>
      </c>
      <c r="F16">
        <v>1200</v>
      </c>
      <c r="G16">
        <v>1200</v>
      </c>
    </row>
    <row r="17" spans="2:7">
      <c r="B17" s="11" t="s">
        <v>35</v>
      </c>
      <c r="C17" s="11"/>
      <c r="D17" s="11" t="s">
        <v>36</v>
      </c>
      <c r="E17" s="12">
        <f>SUM(E14:E16)/1000</f>
        <v>4.5</v>
      </c>
      <c r="F17" s="12">
        <f>SUM(F14:F16)/1000</f>
        <v>5.7</v>
      </c>
      <c r="G17" s="12">
        <f>SUM(G14:G16)/1000</f>
        <v>6.9</v>
      </c>
    </row>
    <row r="18" spans="2:7">
      <c r="B18" s="4"/>
      <c r="C18" s="4"/>
      <c r="D18" s="4"/>
      <c r="E18" s="4"/>
      <c r="F18" s="4"/>
      <c r="G18" s="4"/>
    </row>
    <row r="19" spans="2:7">
      <c r="B19" s="8" t="s">
        <v>37</v>
      </c>
      <c r="C19" s="4"/>
      <c r="D19" s="4" t="s">
        <v>38</v>
      </c>
      <c r="E19" s="4">
        <v>28</v>
      </c>
      <c r="F19" s="4">
        <v>28</v>
      </c>
      <c r="G19" s="4">
        <v>28</v>
      </c>
    </row>
    <row r="20" spans="2:7">
      <c r="B20" t="s">
        <v>39</v>
      </c>
      <c r="D20" t="s">
        <v>40</v>
      </c>
      <c r="E20" s="2">
        <f>E19/E17</f>
        <v>6.2222222222222223</v>
      </c>
      <c r="F20" s="2">
        <f>F19/F17</f>
        <v>4.9122807017543861</v>
      </c>
      <c r="G20" s="2">
        <f>G19/G17</f>
        <v>4.057971014492753</v>
      </c>
    </row>
    <row r="21" spans="2:7">
      <c r="B21" s="1" t="s">
        <v>41</v>
      </c>
      <c r="C21" s="1"/>
      <c r="D21" s="1" t="s">
        <v>42</v>
      </c>
      <c r="E21" s="13">
        <f>E11/E17</f>
        <v>115.20000000000002</v>
      </c>
      <c r="F21" s="13">
        <f>F11/F17</f>
        <v>136.42105263157896</v>
      </c>
      <c r="G21" s="13">
        <f>G11/G17</f>
        <v>150.2608695652174</v>
      </c>
    </row>
    <row r="22" spans="2:7">
      <c r="B22" s="1" t="s">
        <v>43</v>
      </c>
      <c r="C22" s="1"/>
      <c r="D22" s="1" t="s">
        <v>44</v>
      </c>
      <c r="E22" s="14">
        <f>E11/E30</f>
        <v>7.4057142857142877E-2</v>
      </c>
      <c r="F22" s="14">
        <f>F11/F30</f>
        <v>9.1482352941176473E-2</v>
      </c>
      <c r="G22" s="14">
        <f>G11/G30</f>
        <v>0.10368000000000002</v>
      </c>
    </row>
    <row r="23" spans="2:7">
      <c r="E23" s="7"/>
      <c r="F23" s="7"/>
      <c r="G23" s="7"/>
    </row>
    <row r="24" spans="2:7">
      <c r="B24" t="s">
        <v>45</v>
      </c>
      <c r="C24">
        <v>20</v>
      </c>
      <c r="D24" t="s">
        <v>46</v>
      </c>
      <c r="E24" s="3">
        <f>60*E8/$C24</f>
        <v>36</v>
      </c>
      <c r="F24" s="3">
        <f>60*F8/$C24</f>
        <v>54</v>
      </c>
      <c r="G24" s="3">
        <f>60*G8/$C24</f>
        <v>72</v>
      </c>
    </row>
    <row r="25" spans="2:7">
      <c r="B25" t="s">
        <v>47</v>
      </c>
      <c r="C25">
        <v>23</v>
      </c>
      <c r="D25" t="s">
        <v>46</v>
      </c>
      <c r="E25" s="3">
        <f>60*E8/$C25</f>
        <v>31.304347826086957</v>
      </c>
      <c r="F25" s="3">
        <f>60*F8/$C25</f>
        <v>46.956521739130437</v>
      </c>
      <c r="G25" s="3">
        <f>60*G8/$C25</f>
        <v>62.608695652173914</v>
      </c>
    </row>
    <row r="27" spans="2:7">
      <c r="B27" t="s">
        <v>48</v>
      </c>
      <c r="C27">
        <v>10</v>
      </c>
      <c r="D27" t="s">
        <v>46</v>
      </c>
      <c r="E27">
        <f>E8/$C$27*60</f>
        <v>72</v>
      </c>
      <c r="F27">
        <f>F8/$C$27*60</f>
        <v>108</v>
      </c>
      <c r="G27">
        <f>G8/$C$27*60</f>
        <v>144</v>
      </c>
    </row>
    <row r="28" spans="2:7">
      <c r="B28" t="s">
        <v>49</v>
      </c>
      <c r="C28">
        <v>15</v>
      </c>
      <c r="D28" t="s">
        <v>46</v>
      </c>
      <c r="E28">
        <f>E8/$C$28*60</f>
        <v>48</v>
      </c>
      <c r="F28">
        <f>F8/$C$28*60</f>
        <v>72</v>
      </c>
      <c r="G28">
        <f>G8/$C$28*60</f>
        <v>96</v>
      </c>
    </row>
    <row r="30" spans="2:7">
      <c r="B30" t="s">
        <v>50</v>
      </c>
      <c r="D30" t="s">
        <v>51</v>
      </c>
      <c r="E30" s="15">
        <v>7000</v>
      </c>
      <c r="F30" s="15">
        <f>E30+1500</f>
        <v>8500</v>
      </c>
      <c r="G30" s="15">
        <f>F30+1500</f>
        <v>10000</v>
      </c>
    </row>
    <row r="31" spans="2:7">
      <c r="B31" t="s">
        <v>52</v>
      </c>
      <c r="C31">
        <v>0.63</v>
      </c>
      <c r="D31" t="s">
        <v>53</v>
      </c>
      <c r="E31" s="15">
        <f>E30/11*10*$C$31</f>
        <v>4009.0909090909095</v>
      </c>
      <c r="F31" s="15">
        <f>F30/11*10*$C$31</f>
        <v>4868.1818181818189</v>
      </c>
      <c r="G31" s="15">
        <f>G30/11*10*$C$31</f>
        <v>5727.2727272727279</v>
      </c>
    </row>
    <row r="32" spans="2:7">
      <c r="B32" t="s">
        <v>54</v>
      </c>
      <c r="D32" t="s">
        <v>53</v>
      </c>
      <c r="E32" s="15">
        <v>1100</v>
      </c>
      <c r="F32" s="15">
        <v>1250</v>
      </c>
      <c r="G32" s="15">
        <v>1400</v>
      </c>
    </row>
    <row r="33" spans="2:7">
      <c r="B33" t="s">
        <v>55</v>
      </c>
      <c r="E33" s="5">
        <f>E31/E32</f>
        <v>3.6446280991735542</v>
      </c>
      <c r="F33" s="5">
        <f>F31/F32</f>
        <v>3.894545454545455</v>
      </c>
      <c r="G33" s="5">
        <f>G31/G32</f>
        <v>4.0909090909090917</v>
      </c>
    </row>
    <row r="35" spans="2:7">
      <c r="B35" t="s">
        <v>9</v>
      </c>
      <c r="D35" t="s">
        <v>51</v>
      </c>
      <c r="E35" s="15">
        <v>2500</v>
      </c>
      <c r="F35" s="15">
        <v>2500</v>
      </c>
      <c r="G35" s="15">
        <v>2500</v>
      </c>
    </row>
    <row r="36" spans="2:7">
      <c r="B36" t="s">
        <v>56</v>
      </c>
      <c r="D36" t="s">
        <v>51</v>
      </c>
      <c r="E36" s="15">
        <f>E30+E35</f>
        <v>9500</v>
      </c>
      <c r="F36" s="15">
        <f>F30+F35</f>
        <v>11000</v>
      </c>
      <c r="G36" s="15">
        <f>G30+G35</f>
        <v>12500</v>
      </c>
    </row>
    <row r="39" spans="2:7">
      <c r="B39" s="9" t="s">
        <v>57</v>
      </c>
      <c r="C39" s="9"/>
      <c r="D39" s="9"/>
      <c r="E39" s="9" t="s">
        <v>58</v>
      </c>
      <c r="F39" s="9" t="s">
        <v>59</v>
      </c>
      <c r="G39" s="9" t="s">
        <v>60</v>
      </c>
    </row>
    <row r="40" spans="2:7">
      <c r="B40" t="s">
        <v>61</v>
      </c>
    </row>
    <row r="41" spans="2:7">
      <c r="B41" t="s">
        <v>62</v>
      </c>
      <c r="E41" s="6">
        <v>7500</v>
      </c>
      <c r="F41" s="6">
        <v>9075</v>
      </c>
      <c r="G41" s="6">
        <v>11600</v>
      </c>
    </row>
    <row r="42" spans="2:7">
      <c r="B42" t="s">
        <v>63</v>
      </c>
      <c r="E42">
        <v>332</v>
      </c>
      <c r="F42">
        <v>594</v>
      </c>
      <c r="G42">
        <v>860</v>
      </c>
    </row>
    <row r="43" spans="2:7">
      <c r="B43" t="s">
        <v>64</v>
      </c>
      <c r="D43" t="s">
        <v>65</v>
      </c>
      <c r="E43">
        <v>4.8</v>
      </c>
      <c r="F43">
        <v>5.8</v>
      </c>
      <c r="G43">
        <v>7.9</v>
      </c>
    </row>
    <row r="44" spans="2:7">
      <c r="B44" t="s">
        <v>66</v>
      </c>
      <c r="D44" t="s">
        <v>67</v>
      </c>
      <c r="E44">
        <v>27.5</v>
      </c>
      <c r="F44">
        <v>27.5</v>
      </c>
      <c r="G44">
        <v>34</v>
      </c>
    </row>
    <row r="45" spans="2:7">
      <c r="B45" t="s">
        <v>39</v>
      </c>
      <c r="D45" t="s">
        <v>40</v>
      </c>
      <c r="E45" s="2">
        <f>E44/E43</f>
        <v>5.729166666666667</v>
      </c>
      <c r="F45" s="2">
        <f>F44/F43</f>
        <v>4.7413793103448274</v>
      </c>
      <c r="G45" s="2">
        <f>G44/G43</f>
        <v>4.3037974683544302</v>
      </c>
    </row>
    <row r="46" spans="2:7">
      <c r="B46" t="s">
        <v>68</v>
      </c>
      <c r="D46" t="s">
        <v>42</v>
      </c>
      <c r="E46" s="2">
        <f>E42/E43</f>
        <v>69.166666666666671</v>
      </c>
      <c r="F46" s="2">
        <f>F42/F43</f>
        <v>102.41379310344828</v>
      </c>
      <c r="G46" s="2">
        <f>G42/G43</f>
        <v>108.86075949367088</v>
      </c>
    </row>
    <row r="47" spans="2:7">
      <c r="B47" t="s">
        <v>43</v>
      </c>
      <c r="D47" t="s">
        <v>44</v>
      </c>
      <c r="E47" s="7">
        <f>E42/E41*1000</f>
        <v>44.266666666666673</v>
      </c>
      <c r="F47" s="7">
        <f>F42/F41*1000</f>
        <v>65.454545454545453</v>
      </c>
      <c r="G47" s="7">
        <f>G42/G41*1000</f>
        <v>74.137931034482747</v>
      </c>
    </row>
    <row r="49" spans="2:2">
      <c r="B4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20FF-0D60-FE44-BC85-C2BB770357A8}">
  <dimension ref="B6:I20"/>
  <sheetViews>
    <sheetView tabSelected="1" zoomScale="150" zoomScaleNormal="150" workbookViewId="0">
      <selection activeCell="K18" sqref="K18"/>
    </sheetView>
  </sheetViews>
  <sheetFormatPr defaultColWidth="11" defaultRowHeight="15.95"/>
  <cols>
    <col min="2" max="2" width="25.375" customWidth="1"/>
  </cols>
  <sheetData>
    <row r="6" spans="2:9">
      <c r="B6" t="s">
        <v>70</v>
      </c>
      <c r="D6" t="s">
        <v>17</v>
      </c>
      <c r="E6" t="s">
        <v>2</v>
      </c>
      <c r="F6" t="s">
        <v>3</v>
      </c>
    </row>
    <row r="7" spans="2:9">
      <c r="B7" t="s">
        <v>71</v>
      </c>
      <c r="C7" s="3"/>
      <c r="D7" s="3">
        <v>2</v>
      </c>
      <c r="E7" s="3">
        <v>3</v>
      </c>
      <c r="F7" s="3">
        <v>4</v>
      </c>
    </row>
    <row r="8" spans="2:9">
      <c r="B8" t="s">
        <v>72</v>
      </c>
      <c r="C8" s="3">
        <v>12</v>
      </c>
      <c r="D8" s="3">
        <f>D7*C8</f>
        <v>24</v>
      </c>
      <c r="E8" s="3">
        <f>E7*C8</f>
        <v>36</v>
      </c>
      <c r="F8" s="3">
        <f>F7*C8</f>
        <v>48</v>
      </c>
    </row>
    <row r="9" spans="2:9">
      <c r="B9" t="s">
        <v>73</v>
      </c>
      <c r="C9" s="3">
        <v>71</v>
      </c>
      <c r="D9" s="3">
        <f>D8*C9</f>
        <v>1704</v>
      </c>
      <c r="E9" s="3">
        <f>E8*C9</f>
        <v>2556</v>
      </c>
      <c r="F9" s="3">
        <f>F8*C9</f>
        <v>3408</v>
      </c>
    </row>
    <row r="10" spans="2:9">
      <c r="B10" t="s">
        <v>74</v>
      </c>
      <c r="C10" s="3">
        <v>100</v>
      </c>
      <c r="D10" s="3">
        <f>$C$10</f>
        <v>100</v>
      </c>
      <c r="E10" s="3">
        <f>$C$10</f>
        <v>100</v>
      </c>
      <c r="F10" s="3">
        <f>$C$10</f>
        <v>100</v>
      </c>
    </row>
    <row r="11" spans="2:9">
      <c r="B11" t="s">
        <v>75</v>
      </c>
      <c r="C11" s="3"/>
      <c r="D11" s="3">
        <v>200</v>
      </c>
      <c r="E11" s="3">
        <v>250</v>
      </c>
      <c r="F11" s="3">
        <v>300</v>
      </c>
    </row>
    <row r="12" spans="2:9">
      <c r="B12" t="s">
        <v>76</v>
      </c>
      <c r="C12" s="3"/>
      <c r="D12" s="3">
        <f>SUM(D9:D11)</f>
        <v>2004</v>
      </c>
      <c r="E12" s="3">
        <f>SUM(E9:E11)</f>
        <v>2906</v>
      </c>
      <c r="F12" s="3">
        <f>SUM(F9:F11)</f>
        <v>3808</v>
      </c>
      <c r="H12" s="17">
        <f>E12-D12</f>
        <v>902</v>
      </c>
      <c r="I12" s="17">
        <f>F12-E12</f>
        <v>902</v>
      </c>
    </row>
    <row r="13" spans="2:9">
      <c r="C13" s="3"/>
      <c r="D13" s="3"/>
      <c r="E13" s="3"/>
      <c r="F13" s="3"/>
    </row>
    <row r="14" spans="2:9">
      <c r="B14" t="s">
        <v>32</v>
      </c>
      <c r="C14" s="3"/>
      <c r="D14" s="3">
        <v>3200</v>
      </c>
      <c r="E14" s="3">
        <v>4500</v>
      </c>
      <c r="F14" s="3">
        <v>5800</v>
      </c>
      <c r="H14" s="3">
        <v>2000</v>
      </c>
    </row>
    <row r="15" spans="2:9">
      <c r="D15" s="16">
        <f>D12/D14</f>
        <v>0.62624999999999997</v>
      </c>
      <c r="E15" s="16">
        <f>E12/E14</f>
        <v>0.64577777777777778</v>
      </c>
      <c r="F15" s="16">
        <f>F12/F14</f>
        <v>0.65655172413793106</v>
      </c>
      <c r="H15">
        <v>2900</v>
      </c>
    </row>
    <row r="16" spans="2:9">
      <c r="H16">
        <v>3800</v>
      </c>
    </row>
    <row r="20" spans="4:5">
      <c r="D20">
        <v>1970</v>
      </c>
      <c r="E20">
        <v>2850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4dd80b-8c4f-40e6-9ed4-e72ddbd7ac2c">
      <Terms xmlns="http://schemas.microsoft.com/office/infopath/2007/PartnerControls"/>
    </lcf76f155ced4ddcb4097134ff3c332f>
    <TaxCatchAll xmlns="5b4e3845-52df-40eb-a49e-1f8a6c5619b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8A98E94D2E9C4CB81693DDAEB8CAE8" ma:contentTypeVersion="12" ma:contentTypeDescription="Create a new document." ma:contentTypeScope="" ma:versionID="ef3e6249f363415e9cd8bb2fab836b40">
  <xsd:schema xmlns:xsd="http://www.w3.org/2001/XMLSchema" xmlns:xs="http://www.w3.org/2001/XMLSchema" xmlns:p="http://schemas.microsoft.com/office/2006/metadata/properties" xmlns:ns2="764dd80b-8c4f-40e6-9ed4-e72ddbd7ac2c" xmlns:ns3="5b4e3845-52df-40eb-a49e-1f8a6c5619b3" targetNamespace="http://schemas.microsoft.com/office/2006/metadata/properties" ma:root="true" ma:fieldsID="46d3815a0d06b2c8ddfa941cc142d569" ns2:_="" ns3:_="">
    <xsd:import namespace="764dd80b-8c4f-40e6-9ed4-e72ddbd7ac2c"/>
    <xsd:import namespace="5b4e3845-52df-40eb-a49e-1f8a6c5619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dd80b-8c4f-40e6-9ed4-e72ddbd7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48dcbc-39d4-45fc-bae1-f7f22661be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3845-52df-40eb-a49e-1f8a6c5619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9dbe63-448f-4811-84a9-359d2e118678}" ma:internalName="TaxCatchAll" ma:showField="CatchAllData" ma:web="5b4e3845-52df-40eb-a49e-1f8a6c5619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BB0894-BE37-4C33-AFF1-DAC9141A1476}"/>
</file>

<file path=customXml/itemProps2.xml><?xml version="1.0" encoding="utf-8"?>
<ds:datastoreItem xmlns:ds="http://schemas.openxmlformats.org/officeDocument/2006/customXml" ds:itemID="{7D0D4A8A-3517-4F3B-9AA7-64CDFE450B8C}"/>
</file>

<file path=customXml/itemProps3.xml><?xml version="1.0" encoding="utf-8"?>
<ds:datastoreItem xmlns:ds="http://schemas.openxmlformats.org/officeDocument/2006/customXml" ds:itemID="{BC1CA60C-B814-4686-9CEE-3BB65F739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Murchison</dc:creator>
  <cp:keywords/>
  <dc:description/>
  <cp:lastModifiedBy/>
  <cp:revision/>
  <dcterms:created xsi:type="dcterms:W3CDTF">2026-05-21T13:31:24Z</dcterms:created>
  <dcterms:modified xsi:type="dcterms:W3CDTF">2026-06-26T09:45:26Z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0x010100D78A98E94D2E9C4CB81693DDAEB8CAE8</vt:lpwstr>
  </property>
  <property fmtid="{D5CDD505-2E9C-101B-9397-08002B2CF9AE}" pid="3" name="MediaServiceImageTags">
    <vt:lpwstr/>
  </property>
</Properties>
</file>